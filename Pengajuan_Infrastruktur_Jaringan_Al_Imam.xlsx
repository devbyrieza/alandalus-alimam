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0661B694-5B29-4C9D-A543-398551C69E38}" xr6:coauthVersionLast="47" xr6:coauthVersionMax="47" xr10:uidLastSave="{00000000-0000-0000-0000-000000000000}"/>
  <bookViews>
    <workbookView xWindow="-110" yWindow="-110" windowWidth="19420" windowHeight="11500" xr2:uid="{00000000-000D-0000-FFFF-FFFF00000000}"/>
  </bookViews>
  <sheets>
    <sheet name="Pengajuan dan Laporan" sheetId="1" r:id="rId1"/>
  </sheets>
  <definedNames>
    <definedName name="_xlnm.Print_Area" localSheetId="0">'Pengajuan dan Laporan'!$B1:$O30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4" i="1" l="1"/>
  <c r="J13" i="1"/>
  <c r="J12" i="1"/>
  <c r="J11" i="1"/>
  <c r="J10" i="1"/>
  <c r="J15" i="1" s="1"/>
</calcChain>
</file>

<file path=xl/sharedStrings.xml><?xml version="1.0" encoding="utf-8"?>
<sst xmlns="http://schemas.openxmlformats.org/spreadsheetml/2006/main" count="50" uniqueCount="42">
  <si>
    <t>PENGAJUAN DANA &amp; LAPORAN REALISASI</t>
  </si>
  <si>
    <t>Tanggal</t>
  </si>
  <si>
    <t>: 10 Agustus 2026</t>
  </si>
  <si>
    <t>No.</t>
  </si>
  <si>
    <t>:</t>
  </si>
  <si>
    <t>Nama Pemohon</t>
  </si>
  <si>
    <t>Unit/Bidang</t>
  </si>
  <si>
    <t>: IT</t>
  </si>
  <si>
    <t>Tujuan Pemakaian Dana</t>
  </si>
  <si>
    <t>Uraian</t>
  </si>
  <si>
    <t>Permohonan</t>
  </si>
  <si>
    <t>Sumber Dana</t>
  </si>
  <si>
    <t>Realisasi</t>
  </si>
  <si>
    <t>Keterangan
(Sisa Belanja)</t>
  </si>
  <si>
    <t>Qty</t>
  </si>
  <si>
    <t>Ket.</t>
  </si>
  <si>
    <t>Harga Satuan
(Rp)</t>
  </si>
  <si>
    <t>Total Harga</t>
  </si>
  <si>
    <t>Total Harga (Rp)</t>
  </si>
  <si>
    <t>Print Server Jaringan (Wavlink WL-NU72P11 - LAN)</t>
  </si>
  <si>
    <t>Unit</t>
  </si>
  <si>
    <t>Router / Penguat Sinyal 3 Antena (Mercusys MW306R)</t>
  </si>
  <si>
    <t>Paket Kabel Jaringan Pabrikan (Merk Vention)</t>
  </si>
  <si>
    <t>Paket</t>
  </si>
  <si>
    <t>Ongkos Kirim Ekspedisi &amp; Asuransi Pengiriman</t>
  </si>
  <si>
    <t>Perlengkapan Pemasangan Fisik (Terminal, Lakban, dll)</t>
  </si>
  <si>
    <t>Total Pengajuan</t>
  </si>
  <si>
    <t>Menyetujui,</t>
  </si>
  <si>
    <t>Mengetahui,</t>
  </si>
  <si>
    <t>Laporan</t>
  </si>
  <si>
    <t>Mudir Pesantren</t>
  </si>
  <si>
    <t>Pemohon</t>
  </si>
  <si>
    <t>Penerima Dana</t>
  </si>
  <si>
    <t>Diperiksa,</t>
  </si>
  <si>
    <t>Diterima,</t>
  </si>
  <si>
    <t>Ust. Wahab Rajasam, M.Pd.</t>
  </si>
  <si>
    <t>Keterangan Tambahan: Total anggaran yang diajukan adalah angka maksimal. Apabila saat realisasi belanja online dan offline terdapat sisa dana pengajuan, maka seluruh sisa uang kembalian beserta bukti resi akan langsung diserahkan kembali kepada Bendahara.</t>
  </si>
  <si>
    <t>: Rieza Eka Tomara</t>
  </si>
  <si>
    <t>: Infrastruktur Jaringan Printer &amp; Wi-Fi  Pesantren Al-Imam Al-Islami</t>
  </si>
  <si>
    <t>Kepala Bidang IT</t>
  </si>
  <si>
    <t>Rieza Eka Tomara, S.Kom</t>
  </si>
  <si>
    <t>PESANTREN AL-ANDALUS &amp; AL-IMAM AL ISLAMI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</si>
</sst>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7" x14ac:knownFonts="1">
    <font>
      <sz val="11"/>
      <color theme="1"/>
      <name val="Calibri"/>
      <family val="2"/>
      <scheme val="minor"/>
    </font>
    <font>
      <b/>
      <sz val="16"/>
      <color rgb="FF550000"/>
      <name val="Arial"/>
    </font>
    <font>
      <b/>
      <sz val="14"/>
      <color rgb="FFFFFFFF"/>
      <name val="Arial"/>
    </font>
    <font>
      <b/>
      <sz val="11"/>
      <color rgb="FFFFFFFF"/>
      <name val="Arial"/>
    </font>
    <font>
      <b/>
      <sz val="11"/>
      <color rgb="FF550000"/>
      <name val="Calibri"/>
    </font>
    <font>
      <b/>
      <sz val="11"/>
      <name val="Calibri"/>
    </font>
    <font>
      <i/>
      <sz val="10"/>
      <name val="Calibri"/>
    </font>
  </fonts>
  <fills count="4">
    <fill>
      <patternFill patternType="none"/>
    </fill>
    <fill>
      <patternFill patternType="gray125"/>
    </fill>
    <fill>
      <patternFill patternType="solid">
        <fgColor rgb="FF550000"/>
      </patternFill>
    </fill>
    <fill>
      <patternFill patternType="solid">
        <fgColor rgb="FFDDC192"/>
      </patternFill>
    </fill>
  </fills>
  <borders count="4">
    <border>
      <left/>
      <right/>
      <top/>
      <bottom/>
      <diagonal/>
    </border>
    <border>
      <left style="thin">
        <color auto="1"/>
      </left>
      <right style="thin">
        <color auto="1"/>
      </right>
      <top style="thin">
        <color auto="1"/>
      </top>
      <bottom style="thin">
        <color auto="1"/>
      </bottom>
      <diagonal/>
    </border>
    <border>
      <left style="thin">
        <color rgb="FFDDC192"/>
      </left>
      <right style="thin">
        <color rgb="FFDDC192"/>
      </right>
      <top style="thin">
        <color rgb="FFDDC192"/>
      </top>
      <bottom style="thin">
        <color rgb="FFDDC192"/>
      </bottom>
      <diagonal/>
    </border>
    <border>
      <left style="thin">
        <color auto="1"/>
      </left>
      <right style="thin">
        <color auto="1"/>
      </right>
      <top style="thin">
        <color auto="1"/>
      </top>
      <bottom style="double">
        <color auto="1"/>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0" fillId="0" borderId="2" xfId="0" applyBorder="1"/>
    <xf numFmtId="6" fontId="0" fillId="0" borderId="2" xfId="0" applyNumberFormat="1" applyBorder="1"/>
    <xf numFmtId="6" fontId="5" fillId="0" borderId="3" xfId="0" applyNumberFormat="1" applyFont="1" applyBorder="1"/>
    <xf numFmtId="0" fontId="0" fillId="0" borderId="3" xfId="0" applyBorder="1"/>
    <xf numFmtId="0" fontId="0" fillId="0" borderId="0" xfId="0" applyAlignment="1">
      <alignment horizontal="center"/>
    </xf>
    <xf numFmtId="0" fontId="5" fillId="0" borderId="0" xfId="0" applyFont="1"/>
    <xf numFmtId="0" fontId="1" fillId="0" borderId="0" xfId="0" applyFont="1" applyAlignment="1">
      <alignment horizontal="center" vertical="center"/>
    </xf>
    <xf numFmtId="0" fontId="2" fillId="2" borderId="0" xfId="0" applyFont="1" applyFill="1" applyAlignment="1">
      <alignment horizontal="center" vertical="center"/>
    </xf>
    <xf numFmtId="0" fontId="3" fillId="2" borderId="1" xfId="0" applyFont="1" applyFill="1" applyBorder="1" applyAlignment="1">
      <alignment horizontal="center" vertical="center" wrapText="1"/>
    </xf>
    <xf numFmtId="0" fontId="0" fillId="0" borderId="2" xfId="0" applyBorder="1"/>
    <xf numFmtId="0" fontId="4" fillId="3" borderId="2" xfId="0" applyFont="1" applyFill="1" applyBorder="1"/>
    <xf numFmtId="0" fontId="5" fillId="0" borderId="3" xfId="0" applyFont="1" applyBorder="1" applyAlignment="1">
      <alignment horizontal="right"/>
    </xf>
    <xf numFmtId="0" fontId="0" fillId="0" borderId="0" xfId="0" applyAlignment="1">
      <alignment horizontal="center"/>
    </xf>
    <xf numFmtId="0" fontId="6" fillId="0" borderId="0" xfId="0" applyFont="1" applyAlignment="1">
      <alignment horizontal="left" vertical="top"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3440127</xdr:colOff>
      <xdr:row>0</xdr:row>
      <xdr:rowOff>0</xdr:rowOff>
    </xdr:from>
    <xdr:ext cx="481220" cy="749759"/>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352778" y="0"/>
          <a:ext cx="481220" cy="749759"/>
        </a:xfrm>
        <a:prstGeom prst="rect">
          <a:avLst/>
        </a:prstGeom>
      </xdr:spPr>
    </xdr:pic>
    <xdr:clientData/>
  </xdr:oneCellAnchor>
  <xdr:oneCellAnchor>
    <xdr:from>
      <xdr:col>10</xdr:col>
      <xdr:colOff>319518</xdr:colOff>
      <xdr:row>0</xdr:row>
      <xdr:rowOff>71554</xdr:rowOff>
    </xdr:from>
    <xdr:ext cx="590550" cy="59055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11428193" y="71554"/>
          <a:ext cx="590550" cy="5905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27"/>
  <sheetViews>
    <sheetView tabSelected="1" zoomScale="83" zoomScaleNormal="83" workbookViewId="0">
      <selection activeCell="L29" sqref="L29"/>
    </sheetView>
  </sheetViews>
  <sheetFormatPr defaultRowHeight="14.5" x14ac:dyDescent="0.35"/>
  <cols>
    <col min="1" max="1" width="3" customWidth="1"/>
    <col min="2" max="2" width="24.453125" bestFit="1" customWidth="1"/>
    <col min="3" max="3" width="58" bestFit="1" customWidth="1"/>
    <col min="4" max="5" width="2" customWidth="1"/>
    <col min="6" max="6" width="22.08984375" bestFit="1" customWidth="1"/>
    <col min="7" max="7" width="5.453125" bestFit="1" customWidth="1"/>
    <col min="8" max="8" width="2" customWidth="1"/>
    <col min="9" max="9" width="22.08984375" bestFit="1" customWidth="1"/>
    <col min="10" max="10" width="18" customWidth="1"/>
    <col min="11" max="11" width="22.08984375" bestFit="1" customWidth="1"/>
    <col min="12" max="12" width="8" customWidth="1"/>
    <col min="13" max="14" width="18" customWidth="1"/>
    <col min="15" max="15" width="20" customWidth="1"/>
  </cols>
  <sheetData>
    <row r="1" spans="2:15" ht="36.65" customHeight="1" x14ac:dyDescent="0.35">
      <c r="B1" s="8" t="s">
        <v>41</v>
      </c>
      <c r="C1" s="8"/>
      <c r="D1" s="8"/>
      <c r="E1" s="8"/>
      <c r="F1" s="8"/>
      <c r="G1" s="8"/>
      <c r="H1" s="8"/>
      <c r="I1" s="8"/>
      <c r="J1" s="8"/>
      <c r="K1" s="8"/>
      <c r="L1" s="8"/>
      <c r="M1" s="8"/>
      <c r="N1" s="8"/>
      <c r="O1" s="8"/>
    </row>
    <row r="2" spans="2:15" ht="18" x14ac:dyDescent="0.35">
      <c r="B2" s="9" t="s">
        <v>0</v>
      </c>
      <c r="C2" s="9"/>
      <c r="D2" s="9"/>
      <c r="E2" s="9"/>
      <c r="F2" s="9"/>
      <c r="G2" s="9"/>
      <c r="H2" s="9"/>
      <c r="I2" s="9"/>
      <c r="J2" s="9"/>
      <c r="K2" s="9"/>
      <c r="L2" s="9"/>
      <c r="M2" s="9"/>
      <c r="N2" s="9"/>
      <c r="O2" s="9"/>
    </row>
    <row r="5" spans="2:15" x14ac:dyDescent="0.35">
      <c r="B5" t="s">
        <v>1</v>
      </c>
      <c r="C5" t="s">
        <v>2</v>
      </c>
      <c r="M5" t="s">
        <v>3</v>
      </c>
      <c r="N5" t="s">
        <v>4</v>
      </c>
    </row>
    <row r="6" spans="2:15" x14ac:dyDescent="0.35">
      <c r="B6" t="s">
        <v>5</v>
      </c>
      <c r="C6" t="s">
        <v>37</v>
      </c>
      <c r="M6" t="s">
        <v>6</v>
      </c>
      <c r="N6" t="s">
        <v>7</v>
      </c>
    </row>
    <row r="7" spans="2:15" x14ac:dyDescent="0.35">
      <c r="B7" t="s">
        <v>8</v>
      </c>
      <c r="C7" t="s">
        <v>38</v>
      </c>
    </row>
    <row r="8" spans="2:15" x14ac:dyDescent="0.35">
      <c r="B8" s="10" t="s">
        <v>3</v>
      </c>
      <c r="C8" s="10" t="s">
        <v>9</v>
      </c>
      <c r="D8" s="10"/>
      <c r="E8" s="10"/>
      <c r="F8" s="10" t="s">
        <v>10</v>
      </c>
      <c r="G8" s="10"/>
      <c r="H8" s="10"/>
      <c r="I8" s="10"/>
      <c r="J8" s="10"/>
      <c r="K8" s="10" t="s">
        <v>11</v>
      </c>
      <c r="L8" s="10" t="s">
        <v>12</v>
      </c>
      <c r="M8" s="10"/>
      <c r="N8" s="10"/>
      <c r="O8" s="10" t="s">
        <v>13</v>
      </c>
    </row>
    <row r="9" spans="2:15" ht="28" x14ac:dyDescent="0.35">
      <c r="B9" s="10"/>
      <c r="C9" s="10"/>
      <c r="D9" s="10"/>
      <c r="E9" s="10"/>
      <c r="F9" s="1" t="s">
        <v>14</v>
      </c>
      <c r="G9" s="1" t="s">
        <v>15</v>
      </c>
      <c r="H9" s="1"/>
      <c r="I9" s="1" t="s">
        <v>16</v>
      </c>
      <c r="J9" s="1" t="s">
        <v>17</v>
      </c>
      <c r="K9" s="10"/>
      <c r="L9" s="1" t="s">
        <v>14</v>
      </c>
      <c r="M9" s="1" t="s">
        <v>16</v>
      </c>
      <c r="N9" s="1" t="s">
        <v>18</v>
      </c>
      <c r="O9" s="10"/>
    </row>
    <row r="10" spans="2:15" x14ac:dyDescent="0.35">
      <c r="B10" s="2">
        <v>1</v>
      </c>
      <c r="C10" s="11" t="s">
        <v>19</v>
      </c>
      <c r="D10" s="11"/>
      <c r="E10" s="11"/>
      <c r="F10" s="2">
        <v>2</v>
      </c>
      <c r="G10" s="2" t="s">
        <v>20</v>
      </c>
      <c r="H10" s="2"/>
      <c r="I10" s="3">
        <v>350000</v>
      </c>
      <c r="J10" s="3">
        <f>I10*F10</f>
        <v>700000</v>
      </c>
      <c r="K10" s="2"/>
      <c r="L10" s="2"/>
      <c r="M10" s="2"/>
      <c r="N10" s="2"/>
      <c r="O10" s="2"/>
    </row>
    <row r="11" spans="2:15" x14ac:dyDescent="0.35">
      <c r="B11" s="2">
        <v>2</v>
      </c>
      <c r="C11" s="11" t="s">
        <v>21</v>
      </c>
      <c r="D11" s="12"/>
      <c r="E11" s="12"/>
      <c r="F11" s="2">
        <v>2</v>
      </c>
      <c r="G11" s="2" t="s">
        <v>20</v>
      </c>
      <c r="H11" s="2"/>
      <c r="I11" s="3">
        <v>175000</v>
      </c>
      <c r="J11" s="3">
        <f>I11*F11</f>
        <v>350000</v>
      </c>
      <c r="K11" s="2"/>
      <c r="L11" s="2"/>
      <c r="M11" s="2"/>
      <c r="N11" s="2"/>
      <c r="O11" s="2"/>
    </row>
    <row r="12" spans="2:15" x14ac:dyDescent="0.35">
      <c r="B12" s="2">
        <v>3</v>
      </c>
      <c r="C12" s="11" t="s">
        <v>22</v>
      </c>
      <c r="D12" s="11"/>
      <c r="E12" s="11"/>
      <c r="F12" s="2">
        <v>1</v>
      </c>
      <c r="G12" s="2" t="s">
        <v>23</v>
      </c>
      <c r="H12" s="2"/>
      <c r="I12" s="3">
        <v>120000</v>
      </c>
      <c r="J12" s="3">
        <f>I12*F12</f>
        <v>120000</v>
      </c>
      <c r="K12" s="2"/>
      <c r="L12" s="2"/>
      <c r="M12" s="2"/>
      <c r="N12" s="2"/>
      <c r="O12" s="2"/>
    </row>
    <row r="13" spans="2:15" x14ac:dyDescent="0.35">
      <c r="B13" s="2">
        <v>4</v>
      </c>
      <c r="C13" s="11" t="s">
        <v>24</v>
      </c>
      <c r="D13" s="11"/>
      <c r="E13" s="11"/>
      <c r="F13" s="2">
        <v>1</v>
      </c>
      <c r="G13" s="2" t="s">
        <v>23</v>
      </c>
      <c r="H13" s="2"/>
      <c r="I13" s="3">
        <v>80000</v>
      </c>
      <c r="J13" s="3">
        <f>I13*F13</f>
        <v>80000</v>
      </c>
      <c r="K13" s="2"/>
      <c r="L13" s="2"/>
      <c r="M13" s="2"/>
      <c r="N13" s="2"/>
      <c r="O13" s="2"/>
    </row>
    <row r="14" spans="2:15" x14ac:dyDescent="0.35">
      <c r="B14" s="2">
        <v>5</v>
      </c>
      <c r="C14" s="11" t="s">
        <v>25</v>
      </c>
      <c r="D14" s="11"/>
      <c r="E14" s="11"/>
      <c r="F14" s="2">
        <v>1</v>
      </c>
      <c r="G14" s="2" t="s">
        <v>23</v>
      </c>
      <c r="H14" s="2"/>
      <c r="I14" s="3">
        <v>50000</v>
      </c>
      <c r="J14" s="3">
        <f>I14*F14</f>
        <v>50000</v>
      </c>
      <c r="K14" s="2"/>
      <c r="L14" s="2"/>
      <c r="M14" s="2"/>
      <c r="N14" s="2"/>
      <c r="O14" s="2"/>
    </row>
    <row r="15" spans="2:15" x14ac:dyDescent="0.35">
      <c r="B15" s="13" t="s">
        <v>26</v>
      </c>
      <c r="C15" s="13"/>
      <c r="D15" s="13"/>
      <c r="E15" s="13"/>
      <c r="F15" s="13"/>
      <c r="G15" s="13"/>
      <c r="H15" s="13"/>
      <c r="I15" s="13"/>
      <c r="J15" s="4">
        <f>SUM(J10:J14)</f>
        <v>1300000</v>
      </c>
      <c r="K15" s="5"/>
      <c r="L15" s="5"/>
      <c r="M15" s="5"/>
      <c r="N15" s="5"/>
      <c r="O15" s="5"/>
    </row>
    <row r="18" spans="2:15" x14ac:dyDescent="0.35">
      <c r="B18" t="s">
        <v>27</v>
      </c>
      <c r="C18" s="6" t="s">
        <v>28</v>
      </c>
      <c r="M18" s="14" t="s">
        <v>29</v>
      </c>
      <c r="N18" s="14"/>
      <c r="O18" s="14"/>
    </row>
    <row r="19" spans="2:15" x14ac:dyDescent="0.35">
      <c r="B19" t="s">
        <v>30</v>
      </c>
      <c r="C19" s="6" t="s">
        <v>39</v>
      </c>
      <c r="F19" t="s">
        <v>31</v>
      </c>
      <c r="J19" t="s">
        <v>32</v>
      </c>
      <c r="M19" t="s">
        <v>33</v>
      </c>
      <c r="O19" t="s">
        <v>34</v>
      </c>
    </row>
    <row r="24" spans="2:15" x14ac:dyDescent="0.35">
      <c r="B24" s="7" t="s">
        <v>35</v>
      </c>
      <c r="C24" s="16" t="s">
        <v>40</v>
      </c>
      <c r="F24" s="7" t="s">
        <v>40</v>
      </c>
      <c r="I24" s="7"/>
      <c r="J24" s="7" t="s">
        <v>40</v>
      </c>
      <c r="K24" s="7"/>
    </row>
    <row r="27" spans="2:15" ht="30" customHeight="1" x14ac:dyDescent="0.35">
      <c r="B27" s="15" t="s">
        <v>36</v>
      </c>
      <c r="C27" s="15"/>
      <c r="D27" s="15"/>
      <c r="E27" s="15"/>
      <c r="F27" s="15"/>
      <c r="G27" s="15"/>
      <c r="H27" s="15"/>
      <c r="I27" s="15"/>
      <c r="J27" s="15"/>
      <c r="K27" s="15"/>
      <c r="L27" s="15"/>
      <c r="M27" s="15"/>
      <c r="N27" s="15"/>
      <c r="O27" s="15"/>
    </row>
  </sheetData>
  <mergeCells count="16">
    <mergeCell ref="B15:I15"/>
    <mergeCell ref="M18:O18"/>
    <mergeCell ref="B27:O27"/>
    <mergeCell ref="C10:E10"/>
    <mergeCell ref="C11:E11"/>
    <mergeCell ref="C12:E12"/>
    <mergeCell ref="C13:E13"/>
    <mergeCell ref="C14:E14"/>
    <mergeCell ref="B1:O1"/>
    <mergeCell ref="B2:O2"/>
    <mergeCell ref="C8:E9"/>
    <mergeCell ref="F8:J8"/>
    <mergeCell ref="L8:N8"/>
    <mergeCell ref="B8:B9"/>
    <mergeCell ref="K8:K9"/>
    <mergeCell ref="O8:O9"/>
  </mergeCells>
  <pageMargins left="0.7" right="0.7" top="0.75" bottom="0.75" header="0.3" footer="0.3"/>
  <pageSetup paperSize="9" orientation="landscape" useFirstPageNumber="1"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Pengajuan dan Laporan</vt:lpstr>
      <vt:lpstr>'Pengajuan dan Laporan'!Print_Area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2026-07-21T10:42:45Z</dcterms:created>
  <dcterms:modified xsi:type="dcterms:W3CDTF">2026-08-10T08:31:33Z</dcterms:modified>
  <cp:category/>
</cp:coreProperties>
</file>